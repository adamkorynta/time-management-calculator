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geiconsultant-my.sharepoint.com/personal/vanhow2329_geiconsultants_com/Documents/Documents/Practice/Utilization/"/>
    </mc:Choice>
  </mc:AlternateContent>
  <xr:revisionPtr revIDLastSave="16" documentId="8_{60194561-860B-42EB-9088-44B3EB838648}" xr6:coauthVersionLast="47" xr6:coauthVersionMax="47" xr10:uidLastSave="{D8ADC731-D438-451E-9DF0-E2F27ACEA570}"/>
  <bookViews>
    <workbookView xWindow="28680" yWindow="-21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6" i="1" l="1"/>
  <c r="I14" i="1"/>
  <c r="I15" i="1"/>
  <c r="I11" i="1"/>
  <c r="I12" i="1"/>
  <c r="I13" i="1"/>
  <c r="B30" i="1"/>
  <c r="C38" i="1"/>
  <c r="C39" i="1" s="1"/>
  <c r="C37" i="1"/>
  <c r="B26" i="1" l="1"/>
  <c r="B31" i="1"/>
  <c r="B24" i="1" l="1"/>
  <c r="C4" i="1"/>
  <c r="B4" i="1" s="1"/>
  <c r="C5" i="1"/>
  <c r="G3" i="1"/>
  <c r="B32" i="1" s="1"/>
  <c r="B36" i="1" l="1"/>
  <c r="B37" i="1" s="1"/>
  <c r="D3" i="1"/>
  <c r="D4" i="1"/>
  <c r="D5" i="1"/>
  <c r="C7" i="1"/>
  <c r="B7" i="1" s="1"/>
  <c r="C9" i="1"/>
  <c r="B9" i="1" s="1"/>
  <c r="C8" i="1"/>
  <c r="B8" i="1" s="1"/>
  <c r="C6" i="1"/>
  <c r="B6" i="1" s="1"/>
  <c r="B38" i="1" l="1"/>
  <c r="B39" i="1" s="1"/>
  <c r="C3" i="1"/>
  <c r="B3" i="1" s="1"/>
  <c r="B10" i="1" s="1"/>
  <c r="D10" i="1"/>
  <c r="C10" i="1" l="1"/>
</calcChain>
</file>

<file path=xl/sharedStrings.xml><?xml version="1.0" encoding="utf-8"?>
<sst xmlns="http://schemas.openxmlformats.org/spreadsheetml/2006/main" count="57" uniqueCount="55">
  <si>
    <t>PPL</t>
  </si>
  <si>
    <t>Business Development</t>
  </si>
  <si>
    <t>Project Billable</t>
  </si>
  <si>
    <t>Hours/Week</t>
  </si>
  <si>
    <t>Hours/Year</t>
  </si>
  <si>
    <t>Time Allocation (%)</t>
  </si>
  <si>
    <t>Holiday (7 days/year)</t>
  </si>
  <si>
    <t>Years at GEI + Prior Work Credit</t>
  </si>
  <si>
    <t>Accrual for 40 hour per week staff</t>
  </si>
  <si>
    <t>Accrual for 30 – 39 hour per week staff</t>
  </si>
  <si>
    <t>Hrs. per day*</t>
  </si>
  <si>
    <t>Hrs. per yr.</t>
  </si>
  <si>
    <t>0 – 4 years</t>
  </si>
  <si>
    <t>5 – 9 years</t>
  </si>
  <si>
    <t>10 – 14 years</t>
  </si>
  <si>
    <t>15 – 20 years</t>
  </si>
  <si>
    <t>Over 20 years</t>
  </si>
  <si>
    <t>Days per yr.</t>
  </si>
  <si>
    <t>Total</t>
  </si>
  <si>
    <t>PPL Table</t>
  </si>
  <si>
    <t>Schedule</t>
  </si>
  <si>
    <t>Hours/week</t>
  </si>
  <si>
    <t>Hours/year</t>
  </si>
  <si>
    <t>PPL Hours/year</t>
  </si>
  <si>
    <t>Instructions:</t>
  </si>
  <si>
    <t>1. Input your weekly hours status in G2</t>
  </si>
  <si>
    <t>2. Find your Hrs. per year on the PPL table and enter that amount in G4</t>
  </si>
  <si>
    <t>4. Adjust the percentages for D5, D6, D7, and D8 to fit your roles and responsibilities</t>
  </si>
  <si>
    <t>Company/Office/Group Meetings</t>
  </si>
  <si>
    <t>Professional Development/Training</t>
  </si>
  <si>
    <t>Practice Development/Leadership</t>
  </si>
  <si>
    <t>Total Hours Remaining</t>
  </si>
  <si>
    <t>Original Target Billable %</t>
  </si>
  <si>
    <t>Original Target Billable Hours</t>
  </si>
  <si>
    <t>Estimated PPL Hours for Remainder of the Year</t>
  </si>
  <si>
    <t>Estimated Holiday Hours for Remainder of the Year</t>
  </si>
  <si>
    <t>Revised Target Billable %</t>
  </si>
  <si>
    <t>Revised Target Non-billable %</t>
  </si>
  <si>
    <t>Revised Target Billable Hours per Week</t>
  </si>
  <si>
    <t>Revised Target Non-billable Hours per Week</t>
  </si>
  <si>
    <t>Revised Targets for the Remainder of the Year</t>
  </si>
  <si>
    <t xml:space="preserve">Status Update as of </t>
  </si>
  <si>
    <t>Annual Plan Time Management Calculator</t>
  </si>
  <si>
    <t>5. To revise targets during the year, input information from the utilization in the green highlighted boxes below.</t>
  </si>
  <si>
    <t>Adjusted</t>
  </si>
  <si>
    <t>Revised Year-end Target</t>
  </si>
  <si>
    <t>3. Determine your Project Billable target through discussion with your supervisor.</t>
  </si>
  <si>
    <t>YTD PPL</t>
  </si>
  <si>
    <t>YTD Admin</t>
  </si>
  <si>
    <t>YTD BD</t>
  </si>
  <si>
    <t>YTD Non-billable Total</t>
  </si>
  <si>
    <t>YTD Non-billable Hours</t>
  </si>
  <si>
    <t>YTD Billable Total</t>
  </si>
  <si>
    <t>YTD Billable Hours</t>
  </si>
  <si>
    <t>YTD 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</si>
</sst>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  <xf numFmtId="164" fontId="0" fillId="2" borderId="1" xfId="0" applyNumberFormat="1" applyFill="1" applyBorder="1"/>
    <xf numFmtId="0" fontId="0" fillId="2" borderId="1" xfId="0" applyFill="1" applyBorder="1"/>
    <xf numFmtId="9" fontId="0" fillId="0" borderId="0" xfId="0" applyNumberFormat="1"/>
    <xf numFmtId="0" fontId="0" fillId="0" borderId="0" xfId="1" applyNumberFormat="1" applyFont="1" applyFill="1"/>
    <xf numFmtId="0" fontId="2" fillId="0" borderId="0" xfId="0" applyFont="1"/>
    <xf numFmtId="9" fontId="0" fillId="0" borderId="1" xfId="0" applyNumberFormat="1" applyBorder="1"/>
    <xf numFmtId="165" fontId="0" fillId="0" borderId="1" xfId="1" applyNumberFormat="1" applyFont="1" applyFill="1" applyBorder="1"/>
    <xf numFmtId="164" fontId="0" fillId="3" borderId="1" xfId="1" applyNumberFormat="1" applyFont="1" applyFill="1" applyBorder="1"/>
    <xf numFmtId="0" fontId="0" fillId="3" borderId="1" xfId="1" applyNumberFormat="1" applyFont="1" applyFill="1" applyBorder="1"/>
    <xf numFmtId="164" fontId="2" fillId="0" borderId="1" xfId="1" applyNumberFormat="1" applyFont="1" applyFill="1" applyBorder="1"/>
    <xf numFmtId="165" fontId="2" fillId="0" borderId="1" xfId="0" applyNumberFormat="1" applyFont="1" applyBorder="1"/>
    <xf numFmtId="164" fontId="2" fillId="0" borderId="1" xfId="0" applyNumberFormat="1" applyFont="1" applyBorder="1"/>
    <xf numFmtId="0" fontId="2" fillId="0" borderId="0" xfId="0" applyFont="1" applyAlignment="1">
      <alignment horizontal="center"/>
    </xf>
    <xf numFmtId="9" fontId="2" fillId="2" borderId="1" xfId="1" applyFont="1" applyFill="1" applyBorder="1"/>
    <xf numFmtId="9" fontId="2" fillId="0" borderId="0" xfId="1" applyFont="1"/>
    <xf numFmtId="14" fontId="2" fillId="4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zoomScale="130" zoomScaleNormal="130" workbookViewId="0">
      <selection activeCell="B36" sqref="B36"/>
    </sheetView>
  </sheetViews>
  <sheetFormatPr defaultRowHeight="15" x14ac:dyDescent="0.25"/>
  <cols>
    <col min="1" max="1" width="48" customWidth="1"/>
    <col min="2" max="2" width="22.85546875" customWidth="1"/>
    <col min="3" max="3" width="14.28515625" customWidth="1"/>
    <col min="4" max="4" width="21.85546875" customWidth="1"/>
    <col min="6" max="6" width="28.85546875" bestFit="1" customWidth="1"/>
    <col min="7" max="7" width="11.42578125" customWidth="1"/>
    <col min="8" max="8" width="11.140625" customWidth="1"/>
    <col min="9" max="9" width="12.7109375" customWidth="1"/>
    <col min="10" max="10" width="18.7109375" customWidth="1"/>
    <col min="11" max="11" width="15.85546875" customWidth="1"/>
  </cols>
  <sheetData>
    <row r="1" spans="1:11" x14ac:dyDescent="0.25">
      <c r="A1" s="8" t="s">
        <v>42</v>
      </c>
      <c r="F1" t="s">
        <v>20</v>
      </c>
    </row>
    <row r="2" spans="1:11" ht="16.5" customHeight="1" x14ac:dyDescent="0.25">
      <c r="A2" s="1"/>
      <c r="B2" s="1" t="s">
        <v>3</v>
      </c>
      <c r="C2" s="1" t="s">
        <v>4</v>
      </c>
      <c r="D2" s="1" t="s">
        <v>5</v>
      </c>
      <c r="F2" s="1" t="s">
        <v>21</v>
      </c>
      <c r="G2" s="5">
        <v>40</v>
      </c>
    </row>
    <row r="3" spans="1:11" x14ac:dyDescent="0.25">
      <c r="A3" s="1" t="s">
        <v>6</v>
      </c>
      <c r="B3" s="2">
        <f>C3/52</f>
        <v>1.0769230769230769</v>
      </c>
      <c r="C3" s="2">
        <f>D3*$G$3</f>
        <v>56</v>
      </c>
      <c r="D3" s="3">
        <f>(7*8)/G3</f>
        <v>2.6923076923076925E-2</v>
      </c>
      <c r="F3" s="1" t="s">
        <v>22</v>
      </c>
      <c r="G3" s="1">
        <f>G2*52</f>
        <v>2080</v>
      </c>
    </row>
    <row r="4" spans="1:11" x14ac:dyDescent="0.25">
      <c r="A4" s="1" t="s">
        <v>0</v>
      </c>
      <c r="B4" s="2">
        <f>C4/52</f>
        <v>4.2307692307692308</v>
      </c>
      <c r="C4" s="2">
        <f>G4</f>
        <v>220</v>
      </c>
      <c r="D4" s="3">
        <f>G4/G3</f>
        <v>0.10576923076923077</v>
      </c>
      <c r="F4" s="1" t="s">
        <v>23</v>
      </c>
      <c r="G4" s="5">
        <v>220</v>
      </c>
    </row>
    <row r="5" spans="1:11" x14ac:dyDescent="0.25">
      <c r="A5" s="1" t="s">
        <v>28</v>
      </c>
      <c r="B5" s="2">
        <v>1</v>
      </c>
      <c r="C5" s="2">
        <f>B5*52</f>
        <v>52</v>
      </c>
      <c r="D5" s="3">
        <f>C5/G3</f>
        <v>2.5000000000000001E-2</v>
      </c>
    </row>
    <row r="6" spans="1:11" x14ac:dyDescent="0.25">
      <c r="A6" s="1" t="s">
        <v>2</v>
      </c>
      <c r="B6" s="2">
        <f t="shared" ref="B6:B9" si="0">C6/52</f>
        <v>32</v>
      </c>
      <c r="C6" s="2">
        <f>D6*$G$3</f>
        <v>1664</v>
      </c>
      <c r="D6" s="4">
        <v>0.8</v>
      </c>
    </row>
    <row r="7" spans="1:11" x14ac:dyDescent="0.25">
      <c r="A7" s="1" t="s">
        <v>1</v>
      </c>
      <c r="B7" s="2">
        <f t="shared" si="0"/>
        <v>0</v>
      </c>
      <c r="C7" s="2">
        <f t="shared" ref="C7:C8" si="1">D7*$G$3</f>
        <v>0</v>
      </c>
      <c r="D7" s="4">
        <v>0</v>
      </c>
    </row>
    <row r="8" spans="1:11" x14ac:dyDescent="0.25">
      <c r="A8" s="1" t="s">
        <v>29</v>
      </c>
      <c r="B8" s="2">
        <f t="shared" si="0"/>
        <v>1.2</v>
      </c>
      <c r="C8" s="2">
        <f t="shared" si="1"/>
        <v>62.4</v>
      </c>
      <c r="D8" s="4">
        <v>0.03</v>
      </c>
      <c r="F8" t="s">
        <v>19</v>
      </c>
    </row>
    <row r="9" spans="1:11" x14ac:dyDescent="0.25">
      <c r="A9" s="1" t="s">
        <v>30</v>
      </c>
      <c r="B9" s="2">
        <f t="shared" si="0"/>
        <v>0.4</v>
      </c>
      <c r="C9" s="2">
        <f>D9*$G$3</f>
        <v>20.8</v>
      </c>
      <c r="D9" s="4">
        <v>0.01</v>
      </c>
      <c r="F9" s="1" t="s">
        <v>7</v>
      </c>
      <c r="G9" s="1" t="s">
        <v>8</v>
      </c>
      <c r="H9" s="1"/>
      <c r="I9" s="1"/>
      <c r="J9" s="1" t="s">
        <v>9</v>
      </c>
      <c r="K9" s="1"/>
    </row>
    <row r="10" spans="1:11" x14ac:dyDescent="0.25">
      <c r="A10" s="1" t="s">
        <v>18</v>
      </c>
      <c r="B10" s="2">
        <f>SUM(B3:B9)</f>
        <v>39.907692307692308</v>
      </c>
      <c r="C10" s="2">
        <f>SUM(C3:C9)</f>
        <v>2075.2000000000003</v>
      </c>
      <c r="D10" s="3">
        <f>SUM(D3:D9)</f>
        <v>0.99769230769230777</v>
      </c>
      <c r="F10" s="1"/>
      <c r="G10" s="1" t="s">
        <v>17</v>
      </c>
      <c r="H10" s="1" t="s">
        <v>11</v>
      </c>
      <c r="I10" s="1" t="s">
        <v>10</v>
      </c>
      <c r="J10" s="1" t="s">
        <v>11</v>
      </c>
      <c r="K10" s="1" t="s">
        <v>10</v>
      </c>
    </row>
    <row r="11" spans="1:11" x14ac:dyDescent="0.25">
      <c r="F11" s="1" t="s">
        <v>12</v>
      </c>
      <c r="G11" s="1">
        <v>18</v>
      </c>
      <c r="H11" s="1">
        <v>144</v>
      </c>
      <c r="I11" s="1">
        <f t="shared" ref="I11:I15" si="2">(H11/52)/5</f>
        <v>0.55384615384615388</v>
      </c>
      <c r="J11" s="1">
        <v>108</v>
      </c>
      <c r="K11" s="1">
        <v>0.29599999999999999</v>
      </c>
    </row>
    <row r="12" spans="1:11" x14ac:dyDescent="0.25">
      <c r="A12" t="s">
        <v>24</v>
      </c>
      <c r="F12" s="1" t="s">
        <v>13</v>
      </c>
      <c r="G12" s="1">
        <v>23</v>
      </c>
      <c r="H12" s="1">
        <v>184</v>
      </c>
      <c r="I12" s="1">
        <f t="shared" si="2"/>
        <v>0.70769230769230762</v>
      </c>
      <c r="J12" s="1">
        <v>138</v>
      </c>
      <c r="K12" s="1">
        <v>0.379</v>
      </c>
    </row>
    <row r="13" spans="1:11" x14ac:dyDescent="0.25">
      <c r="A13" t="s">
        <v>25</v>
      </c>
      <c r="F13" s="1" t="s">
        <v>14</v>
      </c>
      <c r="G13" s="1">
        <v>25</v>
      </c>
      <c r="H13" s="1">
        <v>200</v>
      </c>
      <c r="I13" s="1">
        <f>(H13/52)/5</f>
        <v>0.76923076923076927</v>
      </c>
      <c r="J13" s="1">
        <v>150</v>
      </c>
      <c r="K13" s="1">
        <v>0.41199999999999998</v>
      </c>
    </row>
    <row r="14" spans="1:11" x14ac:dyDescent="0.25">
      <c r="A14" t="s">
        <v>26</v>
      </c>
      <c r="F14" s="1" t="s">
        <v>15</v>
      </c>
      <c r="G14" s="1">
        <v>27.5</v>
      </c>
      <c r="H14" s="1">
        <v>220</v>
      </c>
      <c r="I14" s="1">
        <f t="shared" si="2"/>
        <v>0.84615384615384615</v>
      </c>
      <c r="J14" s="1">
        <v>165</v>
      </c>
      <c r="K14" s="1">
        <v>0.45300000000000001</v>
      </c>
    </row>
    <row r="15" spans="1:11" x14ac:dyDescent="0.25">
      <c r="A15" t="s">
        <v>46</v>
      </c>
      <c r="F15" s="1" t="s">
        <v>16</v>
      </c>
      <c r="G15" s="1">
        <v>30</v>
      </c>
      <c r="H15" s="1">
        <v>240</v>
      </c>
      <c r="I15" s="1">
        <f t="shared" si="2"/>
        <v>0.92307692307692302</v>
      </c>
      <c r="J15" s="1">
        <v>180</v>
      </c>
      <c r="K15" s="1">
        <v>0.49399999999999999</v>
      </c>
    </row>
    <row r="16" spans="1:11" x14ac:dyDescent="0.25">
      <c r="A16" t="s">
        <v>27</v>
      </c>
    </row>
    <row r="17" spans="1:3" x14ac:dyDescent="0.25">
      <c r="A17" t="s">
        <v>43</v>
      </c>
    </row>
    <row r="19" spans="1:3" x14ac:dyDescent="0.25">
      <c r="A19" s="8" t="s">
        <v>41</v>
      </c>
      <c r="B19" s="19">
        <v>46090</v>
      </c>
    </row>
    <row r="20" spans="1:3" x14ac:dyDescent="0.25">
      <c r="A20" s="1" t="s">
        <v>47</v>
      </c>
      <c r="B20" s="11">
        <v>0.123</v>
      </c>
    </row>
    <row r="21" spans="1:3" x14ac:dyDescent="0.25">
      <c r="A21" s="1" t="s">
        <v>48</v>
      </c>
      <c r="B21" s="11">
        <v>0.17799999999999999</v>
      </c>
    </row>
    <row r="22" spans="1:3" x14ac:dyDescent="0.25">
      <c r="A22" s="1" t="s">
        <v>49</v>
      </c>
      <c r="B22" s="11">
        <v>0.127</v>
      </c>
    </row>
    <row r="23" spans="1:3" x14ac:dyDescent="0.25">
      <c r="A23" s="1" t="s">
        <v>50</v>
      </c>
      <c r="B23" s="11">
        <v>0.42799999999999999</v>
      </c>
    </row>
    <row r="24" spans="1:3" x14ac:dyDescent="0.25">
      <c r="A24" s="1" t="s">
        <v>51</v>
      </c>
      <c r="B24" s="10">
        <f>B27-B26</f>
        <v>178.92</v>
      </c>
      <c r="C24" s="6"/>
    </row>
    <row r="25" spans="1:3" x14ac:dyDescent="0.25">
      <c r="A25" s="1" t="s">
        <v>52</v>
      </c>
      <c r="B25" s="11">
        <v>0.503</v>
      </c>
    </row>
    <row r="26" spans="1:3" x14ac:dyDescent="0.25">
      <c r="A26" s="1" t="s">
        <v>53</v>
      </c>
      <c r="B26" s="10">
        <f>B25*B27</f>
        <v>181.08</v>
      </c>
    </row>
    <row r="27" spans="1:3" x14ac:dyDescent="0.25">
      <c r="A27" s="1" t="s">
        <v>54</v>
      </c>
      <c r="B27" s="12">
        <v>360</v>
      </c>
    </row>
    <row r="28" spans="1:3" x14ac:dyDescent="0.25">
      <c r="B28" s="7"/>
    </row>
    <row r="29" spans="1:3" x14ac:dyDescent="0.25">
      <c r="A29" s="8" t="s">
        <v>40</v>
      </c>
    </row>
    <row r="30" spans="1:3" x14ac:dyDescent="0.25">
      <c r="A30" s="1" t="s">
        <v>31</v>
      </c>
      <c r="B30" s="1">
        <f>G3-B27</f>
        <v>1720</v>
      </c>
    </row>
    <row r="31" spans="1:3" x14ac:dyDescent="0.25">
      <c r="A31" s="1" t="s">
        <v>32</v>
      </c>
      <c r="B31" s="9">
        <f>D6</f>
        <v>0.8</v>
      </c>
    </row>
    <row r="32" spans="1:3" x14ac:dyDescent="0.25">
      <c r="A32" s="1" t="s">
        <v>33</v>
      </c>
      <c r="B32" s="1">
        <f>B31*G3</f>
        <v>1664</v>
      </c>
    </row>
    <row r="33" spans="1:4" x14ac:dyDescent="0.25">
      <c r="A33" s="1" t="s">
        <v>34</v>
      </c>
      <c r="B33" s="5">
        <v>80</v>
      </c>
    </row>
    <row r="34" spans="1:4" x14ac:dyDescent="0.25">
      <c r="A34" s="1" t="s">
        <v>35</v>
      </c>
      <c r="B34" s="5">
        <v>40</v>
      </c>
    </row>
    <row r="35" spans="1:4" x14ac:dyDescent="0.25">
      <c r="A35" s="1"/>
      <c r="B35" s="1"/>
      <c r="C35" s="16" t="s">
        <v>44</v>
      </c>
      <c r="D35" s="8" t="s">
        <v>45</v>
      </c>
    </row>
    <row r="36" spans="1:4" x14ac:dyDescent="0.25">
      <c r="A36" s="1" t="s">
        <v>36</v>
      </c>
      <c r="B36" s="13">
        <f>(B32-B26)/(B30-B33-B34)</f>
        <v>0.92682500000000001</v>
      </c>
      <c r="C36" s="17">
        <v>0.8</v>
      </c>
      <c r="D36" s="18">
        <f>((B26+(B30-B33-B34)*C36)/G3)</f>
        <v>0.70244230769230764</v>
      </c>
    </row>
    <row r="37" spans="1:4" x14ac:dyDescent="0.25">
      <c r="A37" s="1" t="s">
        <v>38</v>
      </c>
      <c r="B37" s="14">
        <f>B36*$G$2</f>
        <v>37.073</v>
      </c>
      <c r="C37" s="14">
        <f>C36*$G$2</f>
        <v>32</v>
      </c>
    </row>
    <row r="38" spans="1:4" x14ac:dyDescent="0.25">
      <c r="A38" s="1" t="s">
        <v>37</v>
      </c>
      <c r="B38" s="15">
        <f>100%-B36</f>
        <v>7.317499999999999E-2</v>
      </c>
      <c r="C38" s="15">
        <f>100%-C36</f>
        <v>0.19999999999999996</v>
      </c>
    </row>
    <row r="39" spans="1:4" x14ac:dyDescent="0.25">
      <c r="A39" s="1" t="s">
        <v>39</v>
      </c>
      <c r="B39" s="14">
        <f>B38*$G$2</f>
        <v>2.9269999999999996</v>
      </c>
      <c r="C39" s="14">
        <f>C38*$G$2</f>
        <v>7.9999999999999982</v>
      </c>
    </row>
  </sheetData>
  <pageMargins left="0.7" right="0.7" top="0.75" bottom="0.75" header="0.3" footer="0.3"/>
  <pageSetup orientation="portrait" verticalDpi="1200" r:id="rId1"/>
</worksheet>
</file>

<file path=docMetadata/LabelInfo.xml><?xml version="1.0" encoding="utf-8"?>
<clbl:labelList xmlns:clbl="http://schemas.microsoft.com/office/2020/mipLabelMetadata">
  <clbl:label id="{fb1cae5a-c4b9-4108-99c3-f60570916df9}" enabled="0" method="" siteId="{fb1cae5a-c4b9-4108-99c3-f60570916df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GEI Consultants,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Howard, Vance</dc:creator>
  <cp:lastModifiedBy>Howard, Vance</cp:lastModifiedBy>
  <dcterms:created xsi:type="dcterms:W3CDTF">2016-06-24T20:56:57Z</dcterms:created>
  <dcterms:modified xsi:type="dcterms:W3CDTF">2026-08-10T21:06:55Z</dcterms:modified>
</cp:coreProperties>
</file>